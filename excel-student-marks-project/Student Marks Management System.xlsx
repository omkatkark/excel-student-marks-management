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esh Katkar\OneDrive\Desktop\excel-student-marks-project\"/>
    </mc:Choice>
  </mc:AlternateContent>
  <xr:revisionPtr revIDLastSave="0" documentId="8_{DBE6280E-C6A8-4B25-94D8-E0CFA432468F}" xr6:coauthVersionLast="47" xr6:coauthVersionMax="47" xr10:uidLastSave="{00000000-0000-0000-0000-000000000000}"/>
  <bookViews>
    <workbookView xWindow="-108" yWindow="-108" windowWidth="23256" windowHeight="12456" xr2:uid="{DD3361CB-77A2-49E3-88D4-E769008BA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H6" i="1"/>
  <c r="I5" i="1" l="1"/>
  <c r="H5" i="1"/>
  <c r="I13" i="1"/>
  <c r="J13" i="1" s="1"/>
  <c r="I6" i="1"/>
  <c r="J6" i="1" s="1"/>
  <c r="I10" i="1"/>
  <c r="J10" i="1" s="1"/>
  <c r="I9" i="1"/>
  <c r="J9" i="1" s="1"/>
  <c r="I14" i="1"/>
  <c r="J14" i="1" s="1"/>
  <c r="I8" i="1"/>
  <c r="J8" i="1" s="1"/>
  <c r="I12" i="1"/>
  <c r="J12" i="1" s="1"/>
  <c r="I11" i="1"/>
  <c r="J11" i="1" s="1"/>
  <c r="I7" i="1"/>
  <c r="J7" i="1" s="1"/>
  <c r="H9" i="1"/>
  <c r="H7" i="1"/>
  <c r="H14" i="1"/>
  <c r="H11" i="1"/>
  <c r="H8" i="1"/>
  <c r="H13" i="1"/>
  <c r="H10" i="1"/>
  <c r="H12" i="1"/>
  <c r="K5" i="1" l="1"/>
  <c r="J5" i="1"/>
  <c r="K14" i="1"/>
  <c r="K11" i="1"/>
  <c r="K6" i="1"/>
  <c r="K7" i="1"/>
  <c r="K13" i="1"/>
  <c r="K12" i="1"/>
  <c r="K8" i="1"/>
  <c r="K9" i="1"/>
  <c r="K10" i="1"/>
</calcChain>
</file>

<file path=xl/sharedStrings.xml><?xml version="1.0" encoding="utf-8"?>
<sst xmlns="http://schemas.openxmlformats.org/spreadsheetml/2006/main" count="21" uniqueCount="21">
  <si>
    <t>Student Marks Management System</t>
  </si>
  <si>
    <t>Student_id</t>
  </si>
  <si>
    <t>Math</t>
  </si>
  <si>
    <t>English</t>
  </si>
  <si>
    <t>Science</t>
  </si>
  <si>
    <t>Name</t>
  </si>
  <si>
    <t>Total</t>
  </si>
  <si>
    <t>Average</t>
  </si>
  <si>
    <t>Grade</t>
  </si>
  <si>
    <t>Result</t>
  </si>
  <si>
    <t>Harsh</t>
  </si>
  <si>
    <t>Vivek</t>
  </si>
  <si>
    <t>Nitesh</t>
  </si>
  <si>
    <t>Lokesh</t>
  </si>
  <si>
    <t>Aditya</t>
  </si>
  <si>
    <t>Shivam</t>
  </si>
  <si>
    <t>Kunal</t>
  </si>
  <si>
    <t>Om</t>
  </si>
  <si>
    <t>Punit</t>
  </si>
  <si>
    <t>Yash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</si>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</sst>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/>
    <xf numFmtId="0" fontId="2" fillId="2" borderId="0" xfId="0" applyFont="1" applyFill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/>
    <xf numFmtId="0" fontId="0" fillId="0" borderId="9" xfId="0" applyBorder="1" applyAlignment="1">
      <alignment horizontal="center"/>
    </xf>
  </cellXfs>
  <cellStyles count="1">
    <cellStyle name="Normal" xfId="0" builtinId="0"/>
  </cellStyles>
  <dxfs count="25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 Marks Management Chart</a:t>
            </a:r>
          </a:p>
        </c:rich>
      </c:tx>
      <c:layout>
        <c:manualLayout>
          <c:xMode val="edge"/>
          <c:yMode val="edge"/>
          <c:x val="0.1450786850920472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914260717410318E-2"/>
          <c:y val="0.17171296296296298"/>
          <c:w val="0.89019685039370078"/>
          <c:h val="0.64358085447652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Sheet1!$C$5:$D$14</c:f>
              <c:multiLvlStrCache>
                <c:ptCount val="10"/>
                <c:lvl>
                  <c:pt idx="0">
                    <c:v>Harsh</c:v>
                  </c:pt>
                  <c:pt idx="1">
                    <c:v>Vivek</c:v>
                  </c:pt>
                  <c:pt idx="2">
                    <c:v>Nitesh</c:v>
                  </c:pt>
                  <c:pt idx="3">
                    <c:v>Lokesh</c:v>
                  </c:pt>
                  <c:pt idx="4">
                    <c:v>Aditya</c:v>
                  </c:pt>
                  <c:pt idx="5">
                    <c:v>Shivam</c:v>
                  </c:pt>
                  <c:pt idx="6">
                    <c:v>Kunal</c:v>
                  </c:pt>
                  <c:pt idx="7">
                    <c:v>Om</c:v>
                  </c:pt>
                  <c:pt idx="8">
                    <c:v>Punit</c:v>
                  </c:pt>
                  <c:pt idx="9">
                    <c:v>Yash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  <c:pt idx="5">
                    <c:v>106</c:v>
                  </c:pt>
                  <c:pt idx="6">
                    <c:v>107</c:v>
                  </c:pt>
                  <c:pt idx="7">
                    <c:v>108</c:v>
                  </c:pt>
                  <c:pt idx="8">
                    <c:v>109</c:v>
                  </c:pt>
                  <c:pt idx="9">
                    <c:v>110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10"/>
                <c:pt idx="0">
                  <c:v>62</c:v>
                </c:pt>
                <c:pt idx="1">
                  <c:v>44</c:v>
                </c:pt>
                <c:pt idx="2">
                  <c:v>56</c:v>
                </c:pt>
                <c:pt idx="3">
                  <c:v>44</c:v>
                </c:pt>
                <c:pt idx="4">
                  <c:v>22</c:v>
                </c:pt>
                <c:pt idx="5">
                  <c:v>11</c:v>
                </c:pt>
                <c:pt idx="6">
                  <c:v>23</c:v>
                </c:pt>
                <c:pt idx="7">
                  <c:v>45</c:v>
                </c:pt>
                <c:pt idx="8">
                  <c:v>78</c:v>
                </c:pt>
                <c:pt idx="9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0-427F-9046-F25AA709B2FB}"/>
            </c:ext>
          </c:extLst>
        </c:ser>
        <c:ser>
          <c:idx val="1"/>
          <c:order val="1"/>
          <c:tx>
            <c:strRef>
              <c:f>Sheet1!$F$4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Sheet1!$C$5:$D$14</c:f>
              <c:multiLvlStrCache>
                <c:ptCount val="10"/>
                <c:lvl>
                  <c:pt idx="0">
                    <c:v>Harsh</c:v>
                  </c:pt>
                  <c:pt idx="1">
                    <c:v>Vivek</c:v>
                  </c:pt>
                  <c:pt idx="2">
                    <c:v>Nitesh</c:v>
                  </c:pt>
                  <c:pt idx="3">
                    <c:v>Lokesh</c:v>
                  </c:pt>
                  <c:pt idx="4">
                    <c:v>Aditya</c:v>
                  </c:pt>
                  <c:pt idx="5">
                    <c:v>Shivam</c:v>
                  </c:pt>
                  <c:pt idx="6">
                    <c:v>Kunal</c:v>
                  </c:pt>
                  <c:pt idx="7">
                    <c:v>Om</c:v>
                  </c:pt>
                  <c:pt idx="8">
                    <c:v>Punit</c:v>
                  </c:pt>
                  <c:pt idx="9">
                    <c:v>Yash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  <c:pt idx="5">
                    <c:v>106</c:v>
                  </c:pt>
                  <c:pt idx="6">
                    <c:v>107</c:v>
                  </c:pt>
                  <c:pt idx="7">
                    <c:v>108</c:v>
                  </c:pt>
                  <c:pt idx="8">
                    <c:v>109</c:v>
                  </c:pt>
                  <c:pt idx="9">
                    <c:v>110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10"/>
                <c:pt idx="0">
                  <c:v>23</c:v>
                </c:pt>
                <c:pt idx="1">
                  <c:v>43</c:v>
                </c:pt>
                <c:pt idx="2">
                  <c:v>75</c:v>
                </c:pt>
                <c:pt idx="3">
                  <c:v>66</c:v>
                </c:pt>
                <c:pt idx="4">
                  <c:v>55</c:v>
                </c:pt>
                <c:pt idx="5">
                  <c:v>56</c:v>
                </c:pt>
                <c:pt idx="6">
                  <c:v>56</c:v>
                </c:pt>
                <c:pt idx="7">
                  <c:v>32</c:v>
                </c:pt>
                <c:pt idx="8">
                  <c:v>63</c:v>
                </c:pt>
                <c:pt idx="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80-427F-9046-F25AA709B2FB}"/>
            </c:ext>
          </c:extLst>
        </c:ser>
        <c:ser>
          <c:idx val="2"/>
          <c:order val="2"/>
          <c:tx>
            <c:strRef>
              <c:f>Sheet1!$G$4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Sheet1!$C$5:$D$14</c:f>
              <c:multiLvlStrCache>
                <c:ptCount val="10"/>
                <c:lvl>
                  <c:pt idx="0">
                    <c:v>Harsh</c:v>
                  </c:pt>
                  <c:pt idx="1">
                    <c:v>Vivek</c:v>
                  </c:pt>
                  <c:pt idx="2">
                    <c:v>Nitesh</c:v>
                  </c:pt>
                  <c:pt idx="3">
                    <c:v>Lokesh</c:v>
                  </c:pt>
                  <c:pt idx="4">
                    <c:v>Aditya</c:v>
                  </c:pt>
                  <c:pt idx="5">
                    <c:v>Shivam</c:v>
                  </c:pt>
                  <c:pt idx="6">
                    <c:v>Kunal</c:v>
                  </c:pt>
                  <c:pt idx="7">
                    <c:v>Om</c:v>
                  </c:pt>
                  <c:pt idx="8">
                    <c:v>Punit</c:v>
                  </c:pt>
                  <c:pt idx="9">
                    <c:v>Yash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  <c:pt idx="5">
                    <c:v>106</c:v>
                  </c:pt>
                  <c:pt idx="6">
                    <c:v>107</c:v>
                  </c:pt>
                  <c:pt idx="7">
                    <c:v>108</c:v>
                  </c:pt>
                  <c:pt idx="8">
                    <c:v>109</c:v>
                  </c:pt>
                  <c:pt idx="9">
                    <c:v>110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10"/>
                <c:pt idx="0">
                  <c:v>59</c:v>
                </c:pt>
                <c:pt idx="1">
                  <c:v>88</c:v>
                </c:pt>
                <c:pt idx="2">
                  <c:v>77</c:v>
                </c:pt>
                <c:pt idx="3">
                  <c:v>54</c:v>
                </c:pt>
                <c:pt idx="4">
                  <c:v>42</c:v>
                </c:pt>
                <c:pt idx="5">
                  <c:v>81</c:v>
                </c:pt>
                <c:pt idx="6">
                  <c:v>33</c:v>
                </c:pt>
                <c:pt idx="7">
                  <c:v>22</c:v>
                </c:pt>
                <c:pt idx="8">
                  <c:v>25</c:v>
                </c:pt>
                <c:pt idx="9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80-427F-9046-F25AA709B2FB}"/>
            </c:ext>
          </c:extLst>
        </c:ser>
        <c:ser>
          <c:idx val="3"/>
          <c:order val="3"/>
          <c:tx>
            <c:strRef>
              <c:f>Sheet1!$H$4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Sheet1!$C$5:$D$14</c:f>
              <c:multiLvlStrCache>
                <c:ptCount val="10"/>
                <c:lvl>
                  <c:pt idx="0">
                    <c:v>Harsh</c:v>
                  </c:pt>
                  <c:pt idx="1">
                    <c:v>Vivek</c:v>
                  </c:pt>
                  <c:pt idx="2">
                    <c:v>Nitesh</c:v>
                  </c:pt>
                  <c:pt idx="3">
                    <c:v>Lokesh</c:v>
                  </c:pt>
                  <c:pt idx="4">
                    <c:v>Aditya</c:v>
                  </c:pt>
                  <c:pt idx="5">
                    <c:v>Shivam</c:v>
                  </c:pt>
                  <c:pt idx="6">
                    <c:v>Kunal</c:v>
                  </c:pt>
                  <c:pt idx="7">
                    <c:v>Om</c:v>
                  </c:pt>
                  <c:pt idx="8">
                    <c:v>Punit</c:v>
                  </c:pt>
                  <c:pt idx="9">
                    <c:v>Yash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  <c:pt idx="4">
                    <c:v>105</c:v>
                  </c:pt>
                  <c:pt idx="5">
                    <c:v>106</c:v>
                  </c:pt>
                  <c:pt idx="6">
                    <c:v>107</c:v>
                  </c:pt>
                  <c:pt idx="7">
                    <c:v>108</c:v>
                  </c:pt>
                  <c:pt idx="8">
                    <c:v>109</c:v>
                  </c:pt>
                  <c:pt idx="9">
                    <c:v>110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10"/>
                <c:pt idx="0">
                  <c:v>144</c:v>
                </c:pt>
                <c:pt idx="1">
                  <c:v>175</c:v>
                </c:pt>
                <c:pt idx="2">
                  <c:v>208</c:v>
                </c:pt>
                <c:pt idx="3">
                  <c:v>164</c:v>
                </c:pt>
                <c:pt idx="4">
                  <c:v>119</c:v>
                </c:pt>
                <c:pt idx="5">
                  <c:v>148</c:v>
                </c:pt>
                <c:pt idx="6">
                  <c:v>112</c:v>
                </c:pt>
                <c:pt idx="7">
                  <c:v>99</c:v>
                </c:pt>
                <c:pt idx="8">
                  <c:v>166</c:v>
                </c:pt>
                <c:pt idx="9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80-427F-9046-F25AA709B2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92614944"/>
        <c:axId val="292613024"/>
      </c:barChart>
      <c:catAx>
        <c:axId val="29261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613024"/>
        <c:crosses val="autoZero"/>
        <c:auto val="1"/>
        <c:lblAlgn val="ctr"/>
        <c:lblOffset val="100"/>
        <c:noMultiLvlLbl val="0"/>
      </c:catAx>
      <c:valAx>
        <c:axId val="292613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261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50667693838944"/>
          <c:y val="2.3829833770778576E-3"/>
          <c:w val="9.9684976435195291E-2"/>
          <c:h val="0.31250218722659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48381</xdr:colOff>
      <xdr:row>15</xdr:row>
      <xdr:rowOff>76804</xdr:rowOff>
    </xdr:from>
    <xdr:to>
      <xdr:col>10</xdr:col>
      <xdr:colOff>326571</xdr:colOff>
      <xdr:row>30</xdr:row>
      <xdr:rowOff>98576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5958D4-415F-966D-9D74-75649FD19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D0B8E-4651-4026-8A73-48EC7FB58A96}" name="Table1" displayName="Table1" ref="C4:L14" totalsRowShown="0" headerRowDxfId="14" dataDxfId="24" headerRowBorderDxfId="16" tableBorderDxfId="17" totalsRowBorderDxfId="15">
  <autoFilter ref="C4:L14" xr:uid="{03CD0B8E-4651-4026-8A73-48EC7FB58A96}">
    <filterColumn colId="5">
      <customFilters>
        <customFilter operator="lessThanOrEqual" val="214"/>
      </customFilters>
    </filterColumn>
  </autoFilter>
  <tableColumns count="10">
    <tableColumn id="1" xr3:uid="{19C3BA71-4771-409D-BFC5-EBF2CBFB9375}" name="Student_id" dataDxfId="9"/>
    <tableColumn id="2" xr3:uid="{14E90DB6-B6B4-4FE9-8E07-E7C0484DA6F9}" name="Name" dataDxfId="8"/>
    <tableColumn id="3" xr3:uid="{8539FC12-A9BA-48A4-819A-A037B95F8D93}" name="Math" dataDxfId="7">
      <calculatedColumnFormula>RANDBETWEEN(25,100)</calculatedColumnFormula>
    </tableColumn>
    <tableColumn id="4" xr3:uid="{98582F3F-8FDA-4CBF-8FA1-5AE37894AEB6}" name="English" dataDxfId="6">
      <calculatedColumnFormula>RANDBETWEEN(25,100)</calculatedColumnFormula>
    </tableColumn>
    <tableColumn id="5" xr3:uid="{158DFB60-994A-4D81-A15F-E92ED6A3EA0E}" name="Science" dataDxfId="5">
      <calculatedColumnFormula>RANDBETWEEN(25,100)</calculatedColumnFormula>
    </tableColumn>
    <tableColumn id="6" xr3:uid="{ABB0C27E-5818-474A-A5B7-F7AF2A635A4A}" name="Total" dataDxfId="4">
      <calculatedColumnFormula>SUM(E5:G5)</calculatedColumnFormula>
    </tableColumn>
    <tableColumn id="7" xr3:uid="{DA919D3F-C02C-464F-89A1-CC6A6B422796}" name="Average" dataDxfId="3">
      <calculatedColumnFormula>AVERAGE(E5:G5)</calculatedColumnFormula>
    </tableColumn>
    <tableColumn id="8" xr3:uid="{775528C7-AB8E-4A36-B16C-AF26DA798E66}" name="Grade" dataDxfId="2">
      <calculatedColumnFormula>IF(I5&gt;=75,"A",IF(I5&gt;=60,"B",IF(I5&gt;=45,"C","D")))</calculatedColumnFormula>
    </tableColumn>
    <tableColumn id="9" xr3:uid="{7733DB84-5C42-4CD4-9300-2AAA801B2E22}" name="Result" dataDxfId="0">
      <calculatedColumnFormula>IF(I5&gt;=45,"Pass","Fail")</calculatedColumnFormula>
    </tableColumn>
    <tableColumn id="10" xr3:uid="{92771DF6-3CB8-4E78-B01C-1E0D32FFE62B}" name="Rank" dataDxfId="1">
      <calculatedColumnFormula>RANK(H5,Table1[Total])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F54E-C4D8-4659-8D83-E960914CAE83}">
  <dimension ref="B1:L14"/>
  <sheetViews>
    <sheetView tabSelected="1" zoomScale="126" workbookViewId="0">
      <selection activeCell="N2" sqref="N2"/>
    </sheetView>
  </sheetViews>
  <sheetFormatPr defaultRowHeight="14.4" x14ac:dyDescent="0.3"/>
  <cols>
    <col min="1" max="2" width="8.88671875" customWidth="1"/>
    <col min="3" max="3" width="12.88671875" customWidth="1"/>
    <col min="6" max="6" width="11.88671875" customWidth="1"/>
    <col min="8" max="8" width="8.33203125" customWidth="1"/>
    <col min="9" max="9" width="8.88671875" customWidth="1"/>
    <col min="10" max="10" width="7.77734375" customWidth="1"/>
    <col min="12" max="12" width="10.21875" customWidth="1"/>
  </cols>
  <sheetData>
    <row r="1" spans="3:12" ht="17.399999999999999" x14ac:dyDescent="0.3">
      <c r="E1" s="2" t="s">
        <v>0</v>
      </c>
      <c r="F1" s="2"/>
      <c r="G1" s="2"/>
      <c r="H1" s="2"/>
      <c r="I1" s="3"/>
    </row>
    <row r="4" spans="3:12" ht="21" customHeight="1" x14ac:dyDescent="0.3">
      <c r="C4" s="5" t="s">
        <v>1</v>
      </c>
      <c r="D4" s="6" t="s">
        <v>5</v>
      </c>
      <c r="E4" s="6" t="s">
        <v>2</v>
      </c>
      <c r="F4" s="6" t="s">
        <v>3</v>
      </c>
      <c r="G4" s="6" t="s">
        <v>4</v>
      </c>
      <c r="H4" s="6" t="s">
        <v>6</v>
      </c>
      <c r="I4" s="6" t="s">
        <v>7</v>
      </c>
      <c r="J4" s="6" t="s">
        <v>8</v>
      </c>
      <c r="K4" s="7" t="s">
        <v>9</v>
      </c>
      <c r="L4" s="6" t="s">
        <v>20</v>
      </c>
    </row>
    <row r="5" spans="3:12" x14ac:dyDescent="0.3">
      <c r="C5" s="8">
        <v>101</v>
      </c>
      <c r="D5" s="9" t="s">
        <v>10</v>
      </c>
      <c r="E5" s="9">
        <v>62</v>
      </c>
      <c r="F5" s="9">
        <v>23</v>
      </c>
      <c r="G5" s="9">
        <v>59</v>
      </c>
      <c r="H5" s="4">
        <f>SUM(E5:G5)</f>
        <v>144</v>
      </c>
      <c r="I5" s="10">
        <f>AVERAGE(E5:G5)</f>
        <v>48</v>
      </c>
      <c r="J5" s="9" t="str">
        <f>IF(I5&gt;=75,"A",IF(I5&gt;=60,"B",IF(I5&gt;=45,"C","D")))</f>
        <v>C</v>
      </c>
      <c r="K5" s="11" t="str">
        <f>IF(I5&gt;=45,"Pass","Fail")</f>
        <v>Pass</v>
      </c>
      <c r="L5" s="1">
        <f>RANK(H5,Table1[Total])</f>
        <v>7</v>
      </c>
    </row>
    <row r="6" spans="3:12" x14ac:dyDescent="0.3">
      <c r="C6" s="8">
        <v>102</v>
      </c>
      <c r="D6" s="9" t="s">
        <v>11</v>
      </c>
      <c r="E6" s="9">
        <v>44</v>
      </c>
      <c r="F6" s="9">
        <v>43</v>
      </c>
      <c r="G6" s="9">
        <v>88</v>
      </c>
      <c r="H6" s="9">
        <f>SUM(E6:G6)</f>
        <v>175</v>
      </c>
      <c r="I6" s="10">
        <f>AVERAGE(E6:G6)</f>
        <v>58.333333333333336</v>
      </c>
      <c r="J6" s="9" t="str">
        <f>IF(I6&gt;=75,"A",IF(I6&gt;=60,"B",IF(I6&gt;=45,"C","D")))</f>
        <v>C</v>
      </c>
      <c r="K6" s="11" t="str">
        <f>IF(I6&gt;=45,"Pass","Fail")</f>
        <v>Pass</v>
      </c>
      <c r="L6" s="1">
        <f>RANK(H6,Table1[Total])</f>
        <v>3</v>
      </c>
    </row>
    <row r="7" spans="3:12" x14ac:dyDescent="0.3">
      <c r="C7" s="8">
        <v>103</v>
      </c>
      <c r="D7" s="9" t="s">
        <v>12</v>
      </c>
      <c r="E7" s="9">
        <v>56</v>
      </c>
      <c r="F7" s="4">
        <v>75</v>
      </c>
      <c r="G7" s="9">
        <v>77</v>
      </c>
      <c r="H7" s="9">
        <f>SUM(E7:G7)</f>
        <v>208</v>
      </c>
      <c r="I7" s="10">
        <f>AVERAGE(E7:G7)</f>
        <v>69.333333333333329</v>
      </c>
      <c r="J7" s="9" t="str">
        <f>IF(I7&gt;=75,"A",IF(I7&gt;=60,"B",IF(I7&gt;=45,"C","D")))</f>
        <v>B</v>
      </c>
      <c r="K7" s="11" t="str">
        <f>IF(I7&gt;=45,"Pass","Fail")</f>
        <v>Pass</v>
      </c>
      <c r="L7" s="1">
        <f>RANK(H7,Table1[Total])</f>
        <v>2</v>
      </c>
    </row>
    <row r="8" spans="3:12" x14ac:dyDescent="0.3">
      <c r="C8" s="8">
        <v>104</v>
      </c>
      <c r="D8" s="9" t="s">
        <v>13</v>
      </c>
      <c r="E8" s="9">
        <v>44</v>
      </c>
      <c r="F8" s="9">
        <v>66</v>
      </c>
      <c r="G8" s="9">
        <v>54</v>
      </c>
      <c r="H8" s="9">
        <f>SUM(E8:G8)</f>
        <v>164</v>
      </c>
      <c r="I8" s="10">
        <f>AVERAGE(E8:G8)</f>
        <v>54.666666666666664</v>
      </c>
      <c r="J8" s="9" t="str">
        <f>IF(I8&gt;=75,"A",IF(I8&gt;=60,"B",IF(I8&gt;=45,"C","D")))</f>
        <v>C</v>
      </c>
      <c r="K8" s="11" t="str">
        <f>IF(I8&gt;=45,"Pass","Fail")</f>
        <v>Pass</v>
      </c>
      <c r="L8" s="1">
        <f>RANK(H8,Table1[Total])</f>
        <v>5</v>
      </c>
    </row>
    <row r="9" spans="3:12" x14ac:dyDescent="0.3">
      <c r="C9" s="8">
        <v>105</v>
      </c>
      <c r="D9" s="9" t="s">
        <v>14</v>
      </c>
      <c r="E9" s="9">
        <v>22</v>
      </c>
      <c r="F9" s="9">
        <v>55</v>
      </c>
      <c r="G9" s="9">
        <v>42</v>
      </c>
      <c r="H9" s="9">
        <f>SUM(E9:G9)</f>
        <v>119</v>
      </c>
      <c r="I9" s="10">
        <f>AVERAGE(E9:G9)</f>
        <v>39.666666666666664</v>
      </c>
      <c r="J9" s="9" t="str">
        <f>IF(I9&gt;=75,"A",IF(I9&gt;=60,"B",IF(I9&gt;=45,"C","D")))</f>
        <v>D</v>
      </c>
      <c r="K9" s="11" t="str">
        <f>IF(I9&gt;=45,"Pass","Fail")</f>
        <v>Fail</v>
      </c>
      <c r="L9" s="1">
        <f>RANK(H9,Table1[Total])</f>
        <v>8</v>
      </c>
    </row>
    <row r="10" spans="3:12" x14ac:dyDescent="0.3">
      <c r="C10" s="8">
        <v>106</v>
      </c>
      <c r="D10" s="9" t="s">
        <v>15</v>
      </c>
      <c r="E10" s="9">
        <v>11</v>
      </c>
      <c r="F10" s="9">
        <v>56</v>
      </c>
      <c r="G10" s="9">
        <v>81</v>
      </c>
      <c r="H10" s="9">
        <f>SUM(E10:G10)</f>
        <v>148</v>
      </c>
      <c r="I10" s="10">
        <f>AVERAGE(E10:G10)</f>
        <v>49.333333333333336</v>
      </c>
      <c r="J10" s="9" t="str">
        <f>IF(I10&gt;=75,"A",IF(I10&gt;=60,"B",IF(I10&gt;=45,"C","D")))</f>
        <v>C</v>
      </c>
      <c r="K10" s="11" t="str">
        <f>IF(I10&gt;=45,"Pass","Fail")</f>
        <v>Pass</v>
      </c>
      <c r="L10" s="1">
        <f>RANK(H10,Table1[Total])</f>
        <v>6</v>
      </c>
    </row>
    <row r="11" spans="3:12" x14ac:dyDescent="0.3">
      <c r="C11" s="8">
        <v>107</v>
      </c>
      <c r="D11" s="9" t="s">
        <v>16</v>
      </c>
      <c r="E11" s="9">
        <v>23</v>
      </c>
      <c r="F11" s="9">
        <v>56</v>
      </c>
      <c r="G11" s="9">
        <v>33</v>
      </c>
      <c r="H11" s="9">
        <f>SUM(E11:G11)</f>
        <v>112</v>
      </c>
      <c r="I11" s="10">
        <f>AVERAGE(E11:G11)</f>
        <v>37.333333333333336</v>
      </c>
      <c r="J11" s="9" t="str">
        <f>IF(I11&gt;=75,"A",IF(I11&gt;=60,"B",IF(I11&gt;=45,"C","D")))</f>
        <v>D</v>
      </c>
      <c r="K11" s="11" t="str">
        <f>IF(I11&gt;=45,"Pass","Fail")</f>
        <v>Fail</v>
      </c>
      <c r="L11" s="1">
        <f>RANK(H11,Table1[Total])</f>
        <v>9</v>
      </c>
    </row>
    <row r="12" spans="3:12" x14ac:dyDescent="0.3">
      <c r="C12" s="8">
        <v>108</v>
      </c>
      <c r="D12" s="9" t="s">
        <v>17</v>
      </c>
      <c r="E12" s="9">
        <v>45</v>
      </c>
      <c r="F12" s="9">
        <v>32</v>
      </c>
      <c r="G12" s="9">
        <v>22</v>
      </c>
      <c r="H12" s="9">
        <f>SUM(E12:G12)</f>
        <v>99</v>
      </c>
      <c r="I12" s="10">
        <f>AVERAGE(E12:G12)</f>
        <v>33</v>
      </c>
      <c r="J12" s="9" t="str">
        <f>IF(I12&gt;=75,"A",IF(I12&gt;=60,"B",IF(I12&gt;=45,"C","D")))</f>
        <v>D</v>
      </c>
      <c r="K12" s="11" t="str">
        <f>IF(I12&gt;=45,"Pass","Fail")</f>
        <v>Fail</v>
      </c>
      <c r="L12" s="1">
        <f>RANK(H12,Table1[Total])</f>
        <v>10</v>
      </c>
    </row>
    <row r="13" spans="3:12" x14ac:dyDescent="0.3">
      <c r="C13" s="8">
        <v>109</v>
      </c>
      <c r="D13" s="9" t="s">
        <v>18</v>
      </c>
      <c r="E13" s="9">
        <v>78</v>
      </c>
      <c r="F13" s="9">
        <v>63</v>
      </c>
      <c r="G13" s="9">
        <v>25</v>
      </c>
      <c r="H13" s="9">
        <f>SUM(E13:G13)</f>
        <v>166</v>
      </c>
      <c r="I13" s="10">
        <f>AVERAGE(E13:G13)</f>
        <v>55.333333333333336</v>
      </c>
      <c r="J13" s="9" t="str">
        <f>IF(I13&gt;=75,"A",IF(I13&gt;=60,"B",IF(I13&gt;=45,"C","D")))</f>
        <v>C</v>
      </c>
      <c r="K13" s="11" t="str">
        <f>IF(I13&gt;=45,"Pass","Fail")</f>
        <v>Pass</v>
      </c>
      <c r="L13" s="1">
        <f>RANK(H13,Table1[Total])</f>
        <v>4</v>
      </c>
    </row>
    <row r="14" spans="3:12" x14ac:dyDescent="0.3">
      <c r="C14" s="12">
        <v>110</v>
      </c>
      <c r="D14" s="13" t="s">
        <v>19</v>
      </c>
      <c r="E14" s="13">
        <v>91</v>
      </c>
      <c r="F14" s="13">
        <v>56</v>
      </c>
      <c r="G14" s="13">
        <v>67</v>
      </c>
      <c r="H14" s="13">
        <f>SUM(E14:G14)</f>
        <v>214</v>
      </c>
      <c r="I14" s="14">
        <f>AVERAGE(E14:G14)</f>
        <v>71.333333333333329</v>
      </c>
      <c r="J14" s="13" t="str">
        <f>IF(I14&gt;=75,"A",IF(I14&gt;=60,"B",IF(I14&gt;=45,"C","D")))</f>
        <v>B</v>
      </c>
      <c r="K14" s="15" t="str">
        <f>IF(I14&gt;=45,"Pass","Fail")</f>
        <v>Pass</v>
      </c>
      <c r="L14" s="1">
        <f>RANK(H14,Table1[Total])</f>
        <v>1</v>
      </c>
    </row>
  </sheetData>
  <conditionalFormatting sqref="K4:K14">
    <cfRule type="containsText" dxfId="13" priority="1" operator="containsText" text="Fail">
      <formula>NOT(ISERROR(SEARCH("Fail",K4)))</formula>
    </cfRule>
    <cfRule type="containsText" dxfId="12" priority="2" operator="containsText" text="Pass">
      <formula>NOT(ISERROR(SEARCH("Pass",K4)))</formula>
    </cfRule>
    <cfRule type="containsText" dxfId="11" priority="3" operator="containsText" text="Pass">
      <formula>NOT(ISERROR(SEARCH("Pass",K4)))</formula>
    </cfRule>
    <cfRule type="containsText" dxfId="10" priority="4" operator="containsText" text="Pass">
      <formula>NOT(ISERROR(SEARCH("Pass",K4)))</formula>
    </cfRule>
  </conditionalFormatting>
  <pageMargins left="0.7" right="0.7" top="0.75" bottom="0.75" header="0.3" footer="0.3"/>
  <ignoredErrors>
    <ignoredError sqref="E9:E11 E12:E14 F6 G6:G14 E6:E8 E5:G5 F7:F14" calculatedColumn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athravaak05@gmail.com</dc:creator>
  <cp:lastModifiedBy>athravaak05@gmail.com</cp:lastModifiedBy>
  <dcterms:created xsi:type="dcterms:W3CDTF">2026-03-09T13:43:17Z</dcterms:created>
  <dcterms:modified xsi:type="dcterms:W3CDTF">2026-03-09T15:10:52Z</dcterms:modified>
</cp:coreProperties>
</file>